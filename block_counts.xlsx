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os/Documents/GitHub/MiDAS-Infinite-Walk/"/>
    </mc:Choice>
  </mc:AlternateContent>
  <xr:revisionPtr revIDLastSave="0" documentId="13_ncr:9_{6F477488-E46B-0640-85DE-DCA98DA8F4B7}" xr6:coauthVersionLast="47" xr6:coauthVersionMax="47" xr10:uidLastSave="{00000000-0000-0000-0000-000000000000}"/>
  <bookViews>
    <workbookView xWindow="4340" yWindow="1920" windowWidth="25220" windowHeight="14240" xr2:uid="{3FBF3937-8C8D-644F-BC32-A4999C64EBE6}"/>
  </bookViews>
  <sheets>
    <sheet name="block_counts" sheetId="1" r:id="rId1"/>
  </sheets>
  <calcPr calcId="0" concurrentCalc="0"/>
</workbook>
</file>

<file path=xl/calcChain.xml><?xml version="1.0" encoding="utf-8"?>
<calcChain xmlns="http://schemas.openxmlformats.org/spreadsheetml/2006/main">
  <c r="K14" i="1" l="1"/>
  <c r="K13" i="1"/>
  <c r="K27" i="1"/>
  <c r="K26" i="1"/>
  <c r="K40" i="1"/>
  <c r="K39" i="1"/>
  <c r="L29" i="1"/>
  <c r="L30" i="1"/>
  <c r="L31" i="1"/>
  <c r="L32" i="1"/>
  <c r="L33" i="1"/>
  <c r="L34" i="1"/>
  <c r="L35" i="1"/>
  <c r="L36" i="1"/>
  <c r="L37" i="1"/>
  <c r="L38" i="1"/>
  <c r="L40" i="1"/>
  <c r="J29" i="1"/>
  <c r="J30" i="1"/>
  <c r="J31" i="1"/>
  <c r="J32" i="1"/>
  <c r="J33" i="1"/>
  <c r="J34" i="1"/>
  <c r="J35" i="1"/>
  <c r="J36" i="1"/>
  <c r="J37" i="1"/>
  <c r="J38" i="1"/>
  <c r="J40" i="1"/>
  <c r="I29" i="1"/>
  <c r="I30" i="1"/>
  <c r="I31" i="1"/>
  <c r="I32" i="1"/>
  <c r="I33" i="1"/>
  <c r="I34" i="1"/>
  <c r="I35" i="1"/>
  <c r="I36" i="1"/>
  <c r="I37" i="1"/>
  <c r="I38" i="1"/>
  <c r="I40" i="1"/>
  <c r="H29" i="1"/>
  <c r="H30" i="1"/>
  <c r="H31" i="1"/>
  <c r="H32" i="1"/>
  <c r="H33" i="1"/>
  <c r="H34" i="1"/>
  <c r="H35" i="1"/>
  <c r="H36" i="1"/>
  <c r="H37" i="1"/>
  <c r="H38" i="1"/>
  <c r="H40" i="1"/>
  <c r="L39" i="1"/>
  <c r="J39" i="1"/>
  <c r="I39" i="1"/>
  <c r="H39" i="1"/>
  <c r="L16" i="1"/>
  <c r="L17" i="1"/>
  <c r="L18" i="1"/>
  <c r="L19" i="1"/>
  <c r="L20" i="1"/>
  <c r="L21" i="1"/>
  <c r="L22" i="1"/>
  <c r="L23" i="1"/>
  <c r="L24" i="1"/>
  <c r="L25" i="1"/>
  <c r="L27" i="1"/>
  <c r="J16" i="1"/>
  <c r="J17" i="1"/>
  <c r="J18" i="1"/>
  <c r="J19" i="1"/>
  <c r="J20" i="1"/>
  <c r="J21" i="1"/>
  <c r="J22" i="1"/>
  <c r="J23" i="1"/>
  <c r="J24" i="1"/>
  <c r="J25" i="1"/>
  <c r="J27" i="1"/>
  <c r="I16" i="1"/>
  <c r="I17" i="1"/>
  <c r="I18" i="1"/>
  <c r="I19" i="1"/>
  <c r="I20" i="1"/>
  <c r="I21" i="1"/>
  <c r="I22" i="1"/>
  <c r="I23" i="1"/>
  <c r="I24" i="1"/>
  <c r="I25" i="1"/>
  <c r="I27" i="1"/>
  <c r="H16" i="1"/>
  <c r="H17" i="1"/>
  <c r="H18" i="1"/>
  <c r="H19" i="1"/>
  <c r="H20" i="1"/>
  <c r="H21" i="1"/>
  <c r="H22" i="1"/>
  <c r="H23" i="1"/>
  <c r="H24" i="1"/>
  <c r="H25" i="1"/>
  <c r="H27" i="1"/>
  <c r="L26" i="1"/>
  <c r="J26" i="1"/>
  <c r="I26" i="1"/>
  <c r="H26" i="1"/>
  <c r="L3" i="1"/>
  <c r="L4" i="1"/>
  <c r="L5" i="1"/>
  <c r="L6" i="1"/>
  <c r="L7" i="1"/>
  <c r="L8" i="1"/>
  <c r="L9" i="1"/>
  <c r="L10" i="1"/>
  <c r="L11" i="1"/>
  <c r="L12" i="1"/>
  <c r="L13" i="1"/>
  <c r="L14" i="1"/>
  <c r="I3" i="1"/>
  <c r="I4" i="1"/>
  <c r="I5" i="1"/>
  <c r="I6" i="1"/>
  <c r="I7" i="1"/>
  <c r="I8" i="1"/>
  <c r="I9" i="1"/>
  <c r="I10" i="1"/>
  <c r="I11" i="1"/>
  <c r="I12" i="1"/>
  <c r="I14" i="1"/>
  <c r="J3" i="1"/>
  <c r="J4" i="1"/>
  <c r="J5" i="1"/>
  <c r="J6" i="1"/>
  <c r="J7" i="1"/>
  <c r="J8" i="1"/>
  <c r="J9" i="1"/>
  <c r="J10" i="1"/>
  <c r="J11" i="1"/>
  <c r="J12" i="1"/>
  <c r="J14" i="1"/>
  <c r="H3" i="1"/>
  <c r="H4" i="1"/>
  <c r="H5" i="1"/>
  <c r="H6" i="1"/>
  <c r="H7" i="1"/>
  <c r="H8" i="1"/>
  <c r="H9" i="1"/>
  <c r="H10" i="1"/>
  <c r="H11" i="1"/>
  <c r="H12" i="1"/>
  <c r="H14" i="1"/>
  <c r="J13" i="1"/>
  <c r="I13" i="1"/>
  <c r="H13" i="1"/>
</calcChain>
</file>

<file path=xl/sharedStrings.xml><?xml version="1.0" encoding="utf-8"?>
<sst xmlns="http://schemas.openxmlformats.org/spreadsheetml/2006/main" count="7" uniqueCount="7">
  <si>
    <t>Left Blocks</t>
  </si>
  <si>
    <t>Right Blocks</t>
  </si>
  <si>
    <t>Straight</t>
  </si>
  <si>
    <t>Clockwise</t>
  </si>
  <si>
    <t>Counter-clockwise</t>
  </si>
  <si>
    <t>Direction Changes</t>
  </si>
  <si>
    <t>ZigZags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</si>
</sst>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995C-EB28-994D-B58A-7ED54E06B7AB}">
  <dimension ref="A1:L40"/>
  <sheetViews>
    <sheetView tabSelected="1" workbookViewId="0">
      <selection activeCell="C28" sqref="C28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">
      <c r="A2">
        <v>5.6</v>
      </c>
      <c r="B2">
        <v>5.6</v>
      </c>
    </row>
    <row r="3" spans="1:12" x14ac:dyDescent="0.2">
      <c r="A3">
        <v>436</v>
      </c>
      <c r="B3">
        <v>49</v>
      </c>
      <c r="C3">
        <v>516</v>
      </c>
      <c r="D3">
        <v>0</v>
      </c>
      <c r="E3">
        <v>996</v>
      </c>
      <c r="F3">
        <v>0</v>
      </c>
      <c r="G3">
        <v>97</v>
      </c>
      <c r="H3">
        <f>A3/SUM(A3:C3)</f>
        <v>0.43556443556443558</v>
      </c>
      <c r="I3">
        <f>B3/SUM(A3:C3)</f>
        <v>4.8951048951048952E-2</v>
      </c>
      <c r="J3">
        <f>C3/SUM(A3:C3)</f>
        <v>0.51548451548451546</v>
      </c>
      <c r="L3">
        <f>G3/SUM(A3:C3)</f>
        <v>9.6903096903096897E-2</v>
      </c>
    </row>
    <row r="4" spans="1:12" x14ac:dyDescent="0.2">
      <c r="A4">
        <v>438</v>
      </c>
      <c r="B4">
        <v>50</v>
      </c>
      <c r="C4">
        <v>513</v>
      </c>
      <c r="D4">
        <v>0</v>
      </c>
      <c r="E4">
        <v>998</v>
      </c>
      <c r="F4">
        <v>0</v>
      </c>
      <c r="G4">
        <v>100</v>
      </c>
      <c r="H4">
        <f t="shared" ref="H4:H12" si="0">A4/SUM(A4:C4)</f>
        <v>0.43756243756243757</v>
      </c>
      <c r="I4">
        <f t="shared" ref="I4:I12" si="1">B4/SUM(A4:C4)</f>
        <v>4.9950049950049952E-2</v>
      </c>
      <c r="J4">
        <f t="shared" ref="J4:J12" si="2">C4/SUM(A4:C4)</f>
        <v>0.51248751248751245</v>
      </c>
      <c r="L4">
        <f t="shared" ref="L4:L12" si="3">G4/SUM(A4:C4)</f>
        <v>9.9900099900099903E-2</v>
      </c>
    </row>
    <row r="5" spans="1:12" x14ac:dyDescent="0.2">
      <c r="A5">
        <v>437</v>
      </c>
      <c r="B5">
        <v>49</v>
      </c>
      <c r="C5">
        <v>515</v>
      </c>
      <c r="D5">
        <v>0</v>
      </c>
      <c r="E5">
        <v>998</v>
      </c>
      <c r="F5">
        <v>0</v>
      </c>
      <c r="G5">
        <v>96</v>
      </c>
      <c r="H5">
        <f t="shared" si="0"/>
        <v>0.43656343656343655</v>
      </c>
      <c r="I5">
        <f t="shared" si="1"/>
        <v>4.8951048951048952E-2</v>
      </c>
      <c r="J5">
        <f t="shared" si="2"/>
        <v>0.51448551448551449</v>
      </c>
      <c r="L5">
        <f t="shared" si="3"/>
        <v>9.5904095904095904E-2</v>
      </c>
    </row>
    <row r="6" spans="1:12" x14ac:dyDescent="0.2">
      <c r="A6">
        <v>421</v>
      </c>
      <c r="B6">
        <v>46</v>
      </c>
      <c r="C6">
        <v>534</v>
      </c>
      <c r="D6">
        <v>0</v>
      </c>
      <c r="E6">
        <v>997</v>
      </c>
      <c r="F6">
        <v>0</v>
      </c>
      <c r="G6">
        <v>91</v>
      </c>
      <c r="H6">
        <f t="shared" si="0"/>
        <v>0.4205794205794206</v>
      </c>
      <c r="I6">
        <f t="shared" si="1"/>
        <v>4.5954045954045952E-2</v>
      </c>
      <c r="J6">
        <f t="shared" si="2"/>
        <v>0.5334665334665335</v>
      </c>
      <c r="L6">
        <f t="shared" si="3"/>
        <v>9.0909090909090912E-2</v>
      </c>
    </row>
    <row r="7" spans="1:12" x14ac:dyDescent="0.2">
      <c r="A7">
        <v>435</v>
      </c>
      <c r="B7">
        <v>54</v>
      </c>
      <c r="C7">
        <v>512</v>
      </c>
      <c r="D7">
        <v>0</v>
      </c>
      <c r="E7">
        <v>999</v>
      </c>
      <c r="F7">
        <v>0</v>
      </c>
      <c r="G7">
        <v>107</v>
      </c>
      <c r="H7">
        <f t="shared" si="0"/>
        <v>0.43456543456543456</v>
      </c>
      <c r="I7">
        <f t="shared" si="1"/>
        <v>5.3946053946053944E-2</v>
      </c>
      <c r="J7">
        <f t="shared" si="2"/>
        <v>0.51148851148851149</v>
      </c>
      <c r="L7">
        <f t="shared" si="3"/>
        <v>0.1068931068931069</v>
      </c>
    </row>
    <row r="8" spans="1:12" x14ac:dyDescent="0.2">
      <c r="A8">
        <v>435</v>
      </c>
      <c r="B8">
        <v>50</v>
      </c>
      <c r="C8">
        <v>516</v>
      </c>
      <c r="D8">
        <v>0</v>
      </c>
      <c r="E8">
        <v>998</v>
      </c>
      <c r="F8">
        <v>0</v>
      </c>
      <c r="G8">
        <v>100</v>
      </c>
      <c r="H8">
        <f t="shared" si="0"/>
        <v>0.43456543456543456</v>
      </c>
      <c r="I8">
        <f t="shared" si="1"/>
        <v>4.9950049950049952E-2</v>
      </c>
      <c r="J8">
        <f t="shared" si="2"/>
        <v>0.51548451548451546</v>
      </c>
      <c r="L8">
        <f t="shared" si="3"/>
        <v>9.9900099900099903E-2</v>
      </c>
    </row>
    <row r="9" spans="1:12" x14ac:dyDescent="0.2">
      <c r="A9">
        <v>428</v>
      </c>
      <c r="B9">
        <v>50</v>
      </c>
      <c r="C9">
        <v>523</v>
      </c>
      <c r="D9">
        <v>0</v>
      </c>
      <c r="E9">
        <v>996</v>
      </c>
      <c r="F9">
        <v>0</v>
      </c>
      <c r="G9">
        <v>99</v>
      </c>
      <c r="H9">
        <f t="shared" si="0"/>
        <v>0.42757242757242758</v>
      </c>
      <c r="I9">
        <f t="shared" si="1"/>
        <v>4.9950049950049952E-2</v>
      </c>
      <c r="J9">
        <f t="shared" si="2"/>
        <v>0.52247752247752244</v>
      </c>
      <c r="L9">
        <f t="shared" si="3"/>
        <v>9.8901098901098897E-2</v>
      </c>
    </row>
    <row r="10" spans="1:12" x14ac:dyDescent="0.2">
      <c r="A10">
        <v>438</v>
      </c>
      <c r="B10">
        <v>65</v>
      </c>
      <c r="C10">
        <v>498</v>
      </c>
      <c r="D10">
        <v>0</v>
      </c>
      <c r="E10">
        <v>997</v>
      </c>
      <c r="F10">
        <v>0</v>
      </c>
      <c r="G10">
        <v>130</v>
      </c>
      <c r="H10">
        <f t="shared" si="0"/>
        <v>0.43756243756243757</v>
      </c>
      <c r="I10">
        <f t="shared" si="1"/>
        <v>6.4935064935064929E-2</v>
      </c>
      <c r="J10">
        <f t="shared" si="2"/>
        <v>0.49750249750249748</v>
      </c>
      <c r="L10">
        <f t="shared" si="3"/>
        <v>0.12987012987012986</v>
      </c>
    </row>
    <row r="11" spans="1:12" x14ac:dyDescent="0.2">
      <c r="A11">
        <v>442</v>
      </c>
      <c r="B11">
        <v>48</v>
      </c>
      <c r="C11">
        <v>511</v>
      </c>
      <c r="D11">
        <v>0</v>
      </c>
      <c r="E11">
        <v>999</v>
      </c>
      <c r="F11">
        <v>0</v>
      </c>
      <c r="G11">
        <v>96</v>
      </c>
      <c r="H11">
        <f t="shared" si="0"/>
        <v>0.44155844155844154</v>
      </c>
      <c r="I11">
        <f t="shared" si="1"/>
        <v>4.7952047952047952E-2</v>
      </c>
      <c r="J11">
        <f t="shared" si="2"/>
        <v>0.51048951048951052</v>
      </c>
      <c r="L11">
        <f t="shared" si="3"/>
        <v>9.5904095904095904E-2</v>
      </c>
    </row>
    <row r="12" spans="1:12" x14ac:dyDescent="0.2">
      <c r="A12">
        <v>440</v>
      </c>
      <c r="B12">
        <v>61</v>
      </c>
      <c r="C12">
        <v>500</v>
      </c>
      <c r="D12">
        <v>0</v>
      </c>
      <c r="E12">
        <v>997</v>
      </c>
      <c r="F12">
        <v>0</v>
      </c>
      <c r="G12">
        <v>122</v>
      </c>
      <c r="H12">
        <f t="shared" si="0"/>
        <v>0.43956043956043955</v>
      </c>
      <c r="I12">
        <f t="shared" si="1"/>
        <v>6.0939060939060936E-2</v>
      </c>
      <c r="J12">
        <f t="shared" si="2"/>
        <v>0.49950049950049952</v>
      </c>
      <c r="L12">
        <f t="shared" si="3"/>
        <v>0.12187812187812187</v>
      </c>
    </row>
    <row r="13" spans="1:12" x14ac:dyDescent="0.2">
      <c r="H13" s="1">
        <f>AVERAGE(H3:H12)</f>
        <v>0.43456543456543456</v>
      </c>
      <c r="I13" s="1">
        <f>AVERAGE(I3:I12)</f>
        <v>5.2147852147852149E-2</v>
      </c>
      <c r="J13" s="1">
        <f>AVERAGE(J3:J12)</f>
        <v>0.51328671328671338</v>
      </c>
      <c r="K13" s="1">
        <f>AVERAGE(F3:F12)</f>
        <v>0</v>
      </c>
      <c r="L13" s="1">
        <f>AVERAGE(L3:L12)</f>
        <v>0.1036963036963037</v>
      </c>
    </row>
    <row r="14" spans="1:12" x14ac:dyDescent="0.2">
      <c r="H14" s="1">
        <f>STDEV(H3:H12)</f>
        <v>6.158255747221745E-3</v>
      </c>
      <c r="I14" s="1">
        <f t="shared" ref="I14:J14" si="4">STDEV(I3:I12)</f>
        <v>6.1003625161795442E-3</v>
      </c>
      <c r="J14" s="1">
        <f t="shared" si="4"/>
        <v>1.029396620993943E-2</v>
      </c>
      <c r="K14" s="1">
        <f>STDEV(F3:F12)</f>
        <v>0</v>
      </c>
      <c r="L14" s="1">
        <f t="shared" ref="L14" si="5">STDEV(L3:L12)</f>
        <v>1.2511243961425072E-2</v>
      </c>
    </row>
    <row r="15" spans="1:12" x14ac:dyDescent="0.2">
      <c r="A15">
        <v>6.4</v>
      </c>
      <c r="B15">
        <v>6.4</v>
      </c>
    </row>
    <row r="16" spans="1:12" x14ac:dyDescent="0.2">
      <c r="A16">
        <v>257</v>
      </c>
      <c r="B16">
        <v>266</v>
      </c>
      <c r="C16">
        <v>478</v>
      </c>
      <c r="D16">
        <v>506</v>
      </c>
      <c r="E16">
        <v>493</v>
      </c>
      <c r="F16">
        <v>18</v>
      </c>
      <c r="G16">
        <v>222</v>
      </c>
      <c r="H16">
        <f>A16/SUM(A16:C16)</f>
        <v>0.25674325674325676</v>
      </c>
      <c r="I16">
        <f>B16/SUM(A16:C16)</f>
        <v>0.26573426573426573</v>
      </c>
      <c r="J16">
        <f>C16/SUM(A16:C16)</f>
        <v>0.47752247752247751</v>
      </c>
      <c r="L16">
        <f>G16/SUM(A16:C16)</f>
        <v>0.22177822177822179</v>
      </c>
    </row>
    <row r="17" spans="1:12" x14ac:dyDescent="0.2">
      <c r="A17">
        <v>259</v>
      </c>
      <c r="B17">
        <v>253</v>
      </c>
      <c r="C17">
        <v>489</v>
      </c>
      <c r="D17">
        <v>500</v>
      </c>
      <c r="E17">
        <v>495</v>
      </c>
      <c r="F17">
        <v>19</v>
      </c>
      <c r="G17">
        <v>208</v>
      </c>
      <c r="H17">
        <f t="shared" ref="H17:H25" si="6">A17/SUM(A17:C17)</f>
        <v>0.25874125874125875</v>
      </c>
      <c r="I17">
        <f t="shared" ref="I17:I25" si="7">B17/SUM(A17:C17)</f>
        <v>0.25274725274725274</v>
      </c>
      <c r="J17">
        <f t="shared" ref="J17:J25" si="8">C17/SUM(A17:C17)</f>
        <v>0.48851148851148851</v>
      </c>
      <c r="L17">
        <f t="shared" ref="L17:L25" si="9">G17/SUM(A17:C17)</f>
        <v>0.20779220779220781</v>
      </c>
    </row>
    <row r="18" spans="1:12" x14ac:dyDescent="0.2">
      <c r="A18">
        <v>236</v>
      </c>
      <c r="B18">
        <v>267</v>
      </c>
      <c r="C18">
        <v>498</v>
      </c>
      <c r="D18">
        <v>554</v>
      </c>
      <c r="E18">
        <v>444</v>
      </c>
      <c r="F18">
        <v>24</v>
      </c>
      <c r="G18">
        <v>201</v>
      </c>
      <c r="H18">
        <f t="shared" si="6"/>
        <v>0.23576423576423577</v>
      </c>
      <c r="I18">
        <f t="shared" si="7"/>
        <v>0.26673326673326675</v>
      </c>
      <c r="J18">
        <f t="shared" si="8"/>
        <v>0.49750249750249748</v>
      </c>
      <c r="L18">
        <f t="shared" si="9"/>
        <v>0.2007992007992008</v>
      </c>
    </row>
    <row r="19" spans="1:12" x14ac:dyDescent="0.2">
      <c r="A19">
        <v>245</v>
      </c>
      <c r="B19">
        <v>260</v>
      </c>
      <c r="C19">
        <v>496</v>
      </c>
      <c r="D19">
        <v>519</v>
      </c>
      <c r="E19">
        <v>478</v>
      </c>
      <c r="F19">
        <v>15</v>
      </c>
      <c r="G19">
        <v>200</v>
      </c>
      <c r="H19">
        <f t="shared" si="6"/>
        <v>0.24475524475524477</v>
      </c>
      <c r="I19">
        <f t="shared" si="7"/>
        <v>0.25974025974025972</v>
      </c>
      <c r="J19">
        <f t="shared" si="8"/>
        <v>0.49550449550449549</v>
      </c>
      <c r="L19">
        <f t="shared" si="9"/>
        <v>0.19980019980019981</v>
      </c>
    </row>
    <row r="20" spans="1:12" x14ac:dyDescent="0.2">
      <c r="A20">
        <v>225</v>
      </c>
      <c r="B20">
        <v>266</v>
      </c>
      <c r="C20">
        <v>510</v>
      </c>
      <c r="D20">
        <v>589</v>
      </c>
      <c r="E20">
        <v>408</v>
      </c>
      <c r="F20">
        <v>13</v>
      </c>
      <c r="G20">
        <v>201</v>
      </c>
      <c r="H20">
        <f t="shared" si="6"/>
        <v>0.22477522477522477</v>
      </c>
      <c r="I20">
        <f t="shared" si="7"/>
        <v>0.26573426573426573</v>
      </c>
      <c r="J20">
        <f t="shared" si="8"/>
        <v>0.50949050949050945</v>
      </c>
      <c r="L20">
        <f t="shared" si="9"/>
        <v>0.2007992007992008</v>
      </c>
    </row>
    <row r="21" spans="1:12" x14ac:dyDescent="0.2">
      <c r="A21">
        <v>282</v>
      </c>
      <c r="B21">
        <v>214</v>
      </c>
      <c r="C21">
        <v>505</v>
      </c>
      <c r="D21">
        <v>388</v>
      </c>
      <c r="E21">
        <v>610</v>
      </c>
      <c r="F21">
        <v>11</v>
      </c>
      <c r="G21">
        <v>204</v>
      </c>
      <c r="H21">
        <f t="shared" si="6"/>
        <v>0.28171828171828173</v>
      </c>
      <c r="I21">
        <f t="shared" si="7"/>
        <v>0.21378621378621379</v>
      </c>
      <c r="J21">
        <f t="shared" si="8"/>
        <v>0.50449550449550451</v>
      </c>
      <c r="L21">
        <f t="shared" si="9"/>
        <v>0.20379620379620381</v>
      </c>
    </row>
    <row r="22" spans="1:12" x14ac:dyDescent="0.2">
      <c r="A22">
        <v>268</v>
      </c>
      <c r="B22">
        <v>230</v>
      </c>
      <c r="C22">
        <v>503</v>
      </c>
      <c r="D22">
        <v>437</v>
      </c>
      <c r="E22">
        <v>562</v>
      </c>
      <c r="F22">
        <v>19</v>
      </c>
      <c r="G22">
        <v>194</v>
      </c>
      <c r="H22">
        <f t="shared" si="6"/>
        <v>0.26773226773226771</v>
      </c>
      <c r="I22">
        <f t="shared" si="7"/>
        <v>0.22977022977022976</v>
      </c>
      <c r="J22">
        <f t="shared" si="8"/>
        <v>0.50249750249750247</v>
      </c>
      <c r="L22">
        <f t="shared" si="9"/>
        <v>0.19380619380619379</v>
      </c>
    </row>
    <row r="23" spans="1:12" x14ac:dyDescent="0.2">
      <c r="A23">
        <v>273</v>
      </c>
      <c r="B23">
        <v>237</v>
      </c>
      <c r="C23">
        <v>491</v>
      </c>
      <c r="D23">
        <v>445</v>
      </c>
      <c r="E23">
        <v>550</v>
      </c>
      <c r="F23">
        <v>21</v>
      </c>
      <c r="G23">
        <v>210</v>
      </c>
      <c r="H23">
        <f t="shared" si="6"/>
        <v>0.27272727272727271</v>
      </c>
      <c r="I23">
        <f t="shared" si="7"/>
        <v>0.23676323676323677</v>
      </c>
      <c r="J23">
        <f t="shared" si="8"/>
        <v>0.4905094905094905</v>
      </c>
      <c r="L23">
        <f t="shared" si="9"/>
        <v>0.20979020979020979</v>
      </c>
    </row>
    <row r="24" spans="1:12" x14ac:dyDescent="0.2">
      <c r="A24">
        <v>231</v>
      </c>
      <c r="B24">
        <v>267</v>
      </c>
      <c r="C24">
        <v>503</v>
      </c>
      <c r="D24">
        <v>561</v>
      </c>
      <c r="E24">
        <v>432</v>
      </c>
      <c r="F24">
        <v>9</v>
      </c>
      <c r="G24">
        <v>208</v>
      </c>
      <c r="H24">
        <f t="shared" si="6"/>
        <v>0.23076923076923078</v>
      </c>
      <c r="I24">
        <f t="shared" si="7"/>
        <v>0.26673326673326675</v>
      </c>
      <c r="J24">
        <f t="shared" si="8"/>
        <v>0.50249750249750247</v>
      </c>
      <c r="L24">
        <f t="shared" si="9"/>
        <v>0.20779220779220781</v>
      </c>
    </row>
    <row r="25" spans="1:12" x14ac:dyDescent="0.2">
      <c r="A25">
        <v>248</v>
      </c>
      <c r="B25">
        <v>237</v>
      </c>
      <c r="C25">
        <v>516</v>
      </c>
      <c r="D25">
        <v>484</v>
      </c>
      <c r="E25">
        <v>511</v>
      </c>
      <c r="F25">
        <v>16</v>
      </c>
      <c r="G25">
        <v>191</v>
      </c>
      <c r="H25">
        <f t="shared" si="6"/>
        <v>0.24775224775224775</v>
      </c>
      <c r="I25">
        <f t="shared" si="7"/>
        <v>0.23676323676323677</v>
      </c>
      <c r="J25">
        <f t="shared" si="8"/>
        <v>0.51548451548451546</v>
      </c>
      <c r="L25">
        <f t="shared" si="9"/>
        <v>0.19080919080919082</v>
      </c>
    </row>
    <row r="26" spans="1:12" x14ac:dyDescent="0.2">
      <c r="H26" s="1">
        <f>AVERAGE(H16:H25)</f>
        <v>0.25214785214785218</v>
      </c>
      <c r="I26" s="1">
        <f>AVERAGE(I16:I25)</f>
        <v>0.24945054945054951</v>
      </c>
      <c r="J26" s="1">
        <f>AVERAGE(J16:J25)</f>
        <v>0.49840159840159837</v>
      </c>
      <c r="K26" s="1">
        <f>AVERAGE(F16:F25)</f>
        <v>16.5</v>
      </c>
      <c r="L26" s="1">
        <f>AVERAGE(L16:L25)</f>
        <v>0.20369630369630368</v>
      </c>
    </row>
    <row r="27" spans="1:12" x14ac:dyDescent="0.2">
      <c r="H27" s="1">
        <f>STDEV(H16:H25)</f>
        <v>1.8720424581409538E-2</v>
      </c>
      <c r="I27" s="1">
        <f t="shared" ref="I27:J27" si="10">STDEV(I16:I25)</f>
        <v>1.8931588779332521E-2</v>
      </c>
      <c r="J27" s="1">
        <f t="shared" si="10"/>
        <v>1.1008670695480888E-2</v>
      </c>
      <c r="K27" s="1">
        <f>STDEV(F16:F25)</f>
        <v>4.624812308503869</v>
      </c>
      <c r="L27" s="1">
        <f t="shared" ref="L27" si="11">STDEV(L16:L25)</f>
        <v>8.7782071184133881E-3</v>
      </c>
    </row>
    <row r="28" spans="1:12" x14ac:dyDescent="0.2">
      <c r="A28">
        <v>11.2</v>
      </c>
      <c r="B28">
        <v>11.2</v>
      </c>
    </row>
    <row r="29" spans="1:12" x14ac:dyDescent="0.2">
      <c r="A29">
        <v>268</v>
      </c>
      <c r="B29">
        <v>269</v>
      </c>
      <c r="C29">
        <v>464</v>
      </c>
      <c r="D29">
        <v>520</v>
      </c>
      <c r="E29">
        <v>468</v>
      </c>
      <c r="F29">
        <v>46</v>
      </c>
      <c r="G29">
        <v>317</v>
      </c>
      <c r="H29">
        <f>A29/SUM(A29:C29)</f>
        <v>0.26773226773226771</v>
      </c>
      <c r="I29">
        <f>B29/SUM(A29:C29)</f>
        <v>0.26873126873126874</v>
      </c>
      <c r="J29">
        <f>C29/SUM(A29:C29)</f>
        <v>0.46353646353646355</v>
      </c>
      <c r="L29">
        <f>G29/SUM(A29:C29)</f>
        <v>0.31668331668331667</v>
      </c>
    </row>
    <row r="30" spans="1:12" x14ac:dyDescent="0.2">
      <c r="A30">
        <v>270</v>
      </c>
      <c r="B30">
        <v>264</v>
      </c>
      <c r="C30">
        <v>467</v>
      </c>
      <c r="D30">
        <v>510</v>
      </c>
      <c r="E30">
        <v>483</v>
      </c>
      <c r="F30">
        <v>45</v>
      </c>
      <c r="G30">
        <v>322</v>
      </c>
      <c r="H30">
        <f t="shared" ref="H30:H38" si="12">A30/SUM(A30:C30)</f>
        <v>0.26973026973026976</v>
      </c>
      <c r="I30">
        <f t="shared" ref="I30:I38" si="13">B30/SUM(A30:C30)</f>
        <v>0.26373626373626374</v>
      </c>
      <c r="J30">
        <f t="shared" ref="J30:J38" si="14">C30/SUM(A30:C30)</f>
        <v>0.46653346653346656</v>
      </c>
      <c r="L30">
        <f t="shared" ref="L30:L38" si="15">G30/SUM(A30:C30)</f>
        <v>0.32167832167832167</v>
      </c>
    </row>
    <row r="31" spans="1:12" x14ac:dyDescent="0.2">
      <c r="A31">
        <v>266</v>
      </c>
      <c r="B31">
        <v>254</v>
      </c>
      <c r="C31">
        <v>481</v>
      </c>
      <c r="D31">
        <v>454</v>
      </c>
      <c r="E31">
        <v>543</v>
      </c>
      <c r="F31">
        <v>59</v>
      </c>
      <c r="G31">
        <v>297</v>
      </c>
      <c r="H31">
        <f t="shared" si="12"/>
        <v>0.26573426573426573</v>
      </c>
      <c r="I31">
        <f t="shared" si="13"/>
        <v>0.25374625374625376</v>
      </c>
      <c r="J31">
        <f t="shared" si="14"/>
        <v>0.48051948051948051</v>
      </c>
      <c r="L31">
        <f t="shared" si="15"/>
        <v>0.2967032967032967</v>
      </c>
    </row>
    <row r="32" spans="1:12" x14ac:dyDescent="0.2">
      <c r="A32">
        <v>282</v>
      </c>
      <c r="B32">
        <v>268</v>
      </c>
      <c r="C32">
        <v>451</v>
      </c>
      <c r="D32">
        <v>435</v>
      </c>
      <c r="E32">
        <v>564</v>
      </c>
      <c r="F32">
        <v>54</v>
      </c>
      <c r="G32">
        <v>352</v>
      </c>
      <c r="H32">
        <f t="shared" si="12"/>
        <v>0.28171828171828173</v>
      </c>
      <c r="I32">
        <f t="shared" si="13"/>
        <v>0.26773226773226771</v>
      </c>
      <c r="J32">
        <f t="shared" si="14"/>
        <v>0.45054945054945056</v>
      </c>
      <c r="L32">
        <f t="shared" si="15"/>
        <v>0.35164835164835168</v>
      </c>
    </row>
    <row r="33" spans="1:12" x14ac:dyDescent="0.2">
      <c r="A33">
        <v>270</v>
      </c>
      <c r="B33">
        <v>279</v>
      </c>
      <c r="C33">
        <v>452</v>
      </c>
      <c r="D33">
        <v>517</v>
      </c>
      <c r="E33">
        <v>472</v>
      </c>
      <c r="F33">
        <v>60</v>
      </c>
      <c r="G33">
        <v>339</v>
      </c>
      <c r="H33">
        <f t="shared" si="12"/>
        <v>0.26973026973026976</v>
      </c>
      <c r="I33">
        <f t="shared" si="13"/>
        <v>0.27872127872127872</v>
      </c>
      <c r="J33">
        <f t="shared" si="14"/>
        <v>0.45154845154845152</v>
      </c>
      <c r="L33">
        <f t="shared" si="15"/>
        <v>0.33866133866133868</v>
      </c>
    </row>
    <row r="34" spans="1:12" x14ac:dyDescent="0.2">
      <c r="A34">
        <v>251</v>
      </c>
      <c r="B34">
        <v>246</v>
      </c>
      <c r="C34">
        <v>504</v>
      </c>
      <c r="D34">
        <v>482</v>
      </c>
      <c r="E34">
        <v>515</v>
      </c>
      <c r="F34">
        <v>46</v>
      </c>
      <c r="G34">
        <v>288</v>
      </c>
      <c r="H34">
        <f t="shared" si="12"/>
        <v>0.25074925074925075</v>
      </c>
      <c r="I34">
        <f t="shared" si="13"/>
        <v>0.24575424575424576</v>
      </c>
      <c r="J34">
        <f t="shared" si="14"/>
        <v>0.50349650349650354</v>
      </c>
      <c r="L34">
        <f t="shared" si="15"/>
        <v>0.28771228771228774</v>
      </c>
    </row>
    <row r="35" spans="1:12" x14ac:dyDescent="0.2">
      <c r="A35">
        <v>301</v>
      </c>
      <c r="B35">
        <v>243</v>
      </c>
      <c r="C35">
        <v>457</v>
      </c>
      <c r="D35">
        <v>360</v>
      </c>
      <c r="E35">
        <v>635</v>
      </c>
      <c r="F35">
        <v>55</v>
      </c>
      <c r="G35">
        <v>328</v>
      </c>
      <c r="H35">
        <f t="shared" si="12"/>
        <v>0.30069930069930068</v>
      </c>
      <c r="I35">
        <f t="shared" si="13"/>
        <v>0.24275724275724275</v>
      </c>
      <c r="J35">
        <f t="shared" si="14"/>
        <v>0.45654345654345652</v>
      </c>
      <c r="L35">
        <f t="shared" si="15"/>
        <v>0.32767232767232768</v>
      </c>
    </row>
    <row r="36" spans="1:12" x14ac:dyDescent="0.2">
      <c r="A36">
        <v>261</v>
      </c>
      <c r="B36">
        <v>251</v>
      </c>
      <c r="C36">
        <v>489</v>
      </c>
      <c r="D36">
        <v>443</v>
      </c>
      <c r="E36">
        <v>551</v>
      </c>
      <c r="F36">
        <v>57</v>
      </c>
      <c r="G36">
        <v>297</v>
      </c>
      <c r="H36">
        <f t="shared" si="12"/>
        <v>0.26073926073926074</v>
      </c>
      <c r="I36">
        <f t="shared" si="13"/>
        <v>0.25074925074925075</v>
      </c>
      <c r="J36">
        <f t="shared" si="14"/>
        <v>0.48851148851148851</v>
      </c>
      <c r="L36">
        <f t="shared" si="15"/>
        <v>0.2967032967032967</v>
      </c>
    </row>
    <row r="37" spans="1:12" x14ac:dyDescent="0.2">
      <c r="A37">
        <v>272</v>
      </c>
      <c r="B37">
        <v>239</v>
      </c>
      <c r="C37">
        <v>490</v>
      </c>
      <c r="D37">
        <v>445</v>
      </c>
      <c r="E37">
        <v>547</v>
      </c>
      <c r="F37">
        <v>49</v>
      </c>
      <c r="G37">
        <v>311</v>
      </c>
      <c r="H37">
        <f t="shared" si="12"/>
        <v>0.27172827172827174</v>
      </c>
      <c r="I37">
        <f t="shared" si="13"/>
        <v>0.23876123876123875</v>
      </c>
      <c r="J37">
        <f t="shared" si="14"/>
        <v>0.48951048951048953</v>
      </c>
      <c r="L37">
        <f t="shared" si="15"/>
        <v>0.31068931068931072</v>
      </c>
    </row>
    <row r="38" spans="1:12" x14ac:dyDescent="0.2">
      <c r="A38">
        <v>280</v>
      </c>
      <c r="B38">
        <v>265</v>
      </c>
      <c r="C38">
        <v>456</v>
      </c>
      <c r="D38">
        <v>452</v>
      </c>
      <c r="E38">
        <v>535</v>
      </c>
      <c r="F38">
        <v>39</v>
      </c>
      <c r="G38">
        <v>353</v>
      </c>
      <c r="H38">
        <f t="shared" si="12"/>
        <v>0.27972027972027974</v>
      </c>
      <c r="I38">
        <f t="shared" si="13"/>
        <v>0.26473526473526471</v>
      </c>
      <c r="J38">
        <f t="shared" si="14"/>
        <v>0.45554445554445555</v>
      </c>
      <c r="L38">
        <f t="shared" si="15"/>
        <v>0.35264735264735264</v>
      </c>
    </row>
    <row r="39" spans="1:12" x14ac:dyDescent="0.2">
      <c r="H39" s="1">
        <f>AVERAGE(H29:H38)</f>
        <v>0.27182817182817182</v>
      </c>
      <c r="I39" s="1">
        <f>AVERAGE(I29:I38)</f>
        <v>0.25754245754245753</v>
      </c>
      <c r="J39" s="1">
        <f>AVERAGE(J29:J38)</f>
        <v>0.4706293706293706</v>
      </c>
      <c r="K39" s="1">
        <f>AVERAGE(F29:F38)</f>
        <v>51</v>
      </c>
      <c r="L39" s="1">
        <f>AVERAGE(L29:L38)</f>
        <v>0.32007992007992009</v>
      </c>
    </row>
    <row r="40" spans="1:12" x14ac:dyDescent="0.2">
      <c r="H40" s="1">
        <f>STDEV(H29:H38)</f>
        <v>1.3431517967496054E-2</v>
      </c>
      <c r="I40" s="1">
        <f t="shared" ref="I40:J40" si="16">STDEV(I29:I38)</f>
        <v>1.3074663448574024E-2</v>
      </c>
      <c r="J40" s="1">
        <f t="shared" si="16"/>
        <v>1.8603068893276693E-2</v>
      </c>
      <c r="K40" s="1">
        <f>STDEV(F29:F38)</f>
        <v>6.99205898780101</v>
      </c>
      <c r="L40" s="1">
        <f t="shared" ref="L40" si="17">STDEV(L29:L38)</f>
        <v>2.285944812781391E-2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Angelos Barmpoutis</dc:creator>
  <cp:lastModifiedBy>Angelos Barmpoutis</cp:lastModifiedBy>
  <dcterms:created xsi:type="dcterms:W3CDTF">2026-10-01T18:44:25Z</dcterms:created>
  <dcterms:modified xsi:type="dcterms:W3CDTF">2026-10-01T19:17:17Z</dcterms:modified>
</cp:coreProperties>
</file>